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welPerez/Desktop/IMPORTANT/"/>
    </mc:Choice>
  </mc:AlternateContent>
  <xr:revisionPtr revIDLastSave="0" documentId="13_ncr:1_{61236E7E-A8B5-D240-88D2-95B23E4B47BD}" xr6:coauthVersionLast="47" xr6:coauthVersionMax="47" xr10:uidLastSave="{00000000-0000-0000-0000-000000000000}"/>
  <bookViews>
    <workbookView xWindow="0" yWindow="960" windowWidth="22360" windowHeight="12900" xr2:uid="{E01DC238-A7E6-0141-A91B-DCD4FF03E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2" i="1" l="1"/>
  <c r="K83" i="1"/>
  <c r="M65" i="1" l="1"/>
  <c r="K65" i="1"/>
  <c r="M64" i="1"/>
  <c r="M63" i="1"/>
  <c r="K63" i="1"/>
  <c r="K64" i="1"/>
  <c r="M60" i="1" l="1"/>
  <c r="M62" i="1"/>
  <c r="K62" i="1"/>
  <c r="K61" i="1" l="1"/>
  <c r="K40" i="1" l="1"/>
  <c r="N25" i="1" l="1"/>
  <c r="N54" i="1" l="1"/>
  <c r="M72" i="1"/>
  <c r="K57" i="1" l="1"/>
  <c r="M57" i="1"/>
  <c r="K60" i="1" l="1"/>
  <c r="K72" i="1" l="1"/>
  <c r="K55" i="1" l="1"/>
  <c r="M55" i="1"/>
  <c r="M52" i="1" l="1"/>
  <c r="M51" i="1"/>
  <c r="M54" i="1"/>
  <c r="M53" i="1"/>
  <c r="K51" i="1"/>
  <c r="K52" i="1"/>
  <c r="K50" i="1" l="1"/>
  <c r="M50" i="1"/>
  <c r="M49" i="1"/>
  <c r="K47" i="1" l="1"/>
  <c r="K49" i="1" l="1"/>
  <c r="M45" i="1" l="1"/>
  <c r="M46" i="1"/>
  <c r="M47" i="1"/>
  <c r="M35" i="1" l="1"/>
  <c r="K43" i="1" l="1"/>
  <c r="M42" i="1"/>
  <c r="M43" i="1"/>
  <c r="M44" i="1"/>
  <c r="K54" i="1" l="1"/>
  <c r="K45" i="1"/>
  <c r="K53" i="1" l="1"/>
  <c r="K44" i="1"/>
  <c r="K46" i="1" l="1"/>
  <c r="K42" i="1" l="1"/>
  <c r="M5" i="1" l="1"/>
  <c r="K35" i="1" l="1"/>
  <c r="M27" i="1" l="1"/>
  <c r="M28" i="1"/>
  <c r="M29" i="1"/>
  <c r="M30" i="1"/>
  <c r="M31" i="1"/>
  <c r="M32" i="1"/>
  <c r="M33" i="1"/>
  <c r="M34" i="1"/>
  <c r="K33" i="1"/>
  <c r="K34" i="1" l="1"/>
  <c r="K32" i="1" l="1"/>
  <c r="K27" i="1" l="1"/>
  <c r="K31" i="1" l="1"/>
  <c r="K29" i="1" l="1"/>
  <c r="K22" i="1" l="1"/>
  <c r="K26" i="1"/>
  <c r="K21" i="1"/>
  <c r="K20" i="1" l="1"/>
  <c r="K23" i="1" l="1"/>
  <c r="K19" i="1" l="1"/>
  <c r="M19" i="1"/>
  <c r="M23" i="1"/>
  <c r="M24" i="1"/>
  <c r="M25" i="1"/>
  <c r="M22" i="1"/>
  <c r="M21" i="1"/>
  <c r="M26" i="1" l="1"/>
  <c r="M18" i="1" l="1"/>
  <c r="K18" i="1"/>
  <c r="K17" i="1" l="1"/>
  <c r="M17" i="1"/>
  <c r="K11" i="1"/>
  <c r="M16" i="1"/>
  <c r="K16" i="1"/>
  <c r="M15" i="1"/>
  <c r="K15" i="1"/>
  <c r="M14" i="1"/>
  <c r="K14" i="1"/>
  <c r="M13" i="1"/>
  <c r="K13" i="1"/>
  <c r="M11" i="1"/>
  <c r="M8" i="1"/>
  <c r="K8" i="1"/>
  <c r="M6" i="1"/>
  <c r="K5" i="1"/>
</calcChain>
</file>

<file path=xl/sharedStrings.xml><?xml version="1.0" encoding="utf-8"?>
<sst xmlns="http://schemas.openxmlformats.org/spreadsheetml/2006/main" count="216" uniqueCount="93">
  <si>
    <t>HEINDRICH TRADING CORPORATION 2026</t>
  </si>
  <si>
    <t>SI</t>
  </si>
  <si>
    <t>INV. DATE</t>
  </si>
  <si>
    <t>BARGE</t>
  </si>
  <si>
    <t>SOURCE</t>
  </si>
  <si>
    <t xml:space="preserve">PURCHASED </t>
  </si>
  <si>
    <t>CUSTOMER</t>
  </si>
  <si>
    <t>QUANTITY</t>
  </si>
  <si>
    <t>DISCREPANCY</t>
  </si>
  <si>
    <t>SELLING</t>
  </si>
  <si>
    <t>AMOUNT</t>
  </si>
  <si>
    <t>PRICE</t>
  </si>
  <si>
    <t>DELIVERED</t>
  </si>
  <si>
    <t>RECEIVED</t>
  </si>
  <si>
    <t>RECEIVABLES</t>
  </si>
  <si>
    <t>FRONTIER</t>
  </si>
  <si>
    <t>LOPEZ</t>
  </si>
  <si>
    <t>ADI</t>
  </si>
  <si>
    <t>TRUCKING</t>
  </si>
  <si>
    <t>PROGREEN</t>
  </si>
  <si>
    <t>MODESTO</t>
  </si>
  <si>
    <t>CASA</t>
  </si>
  <si>
    <t>YANGTZE</t>
  </si>
  <si>
    <t>HTC TANK</t>
  </si>
  <si>
    <t>GILBERT</t>
  </si>
  <si>
    <t>NIGEL</t>
  </si>
  <si>
    <t>BUSCO</t>
  </si>
  <si>
    <t>FS2</t>
  </si>
  <si>
    <t>HTC</t>
  </si>
  <si>
    <t>FAITH</t>
  </si>
  <si>
    <t>GSMI</t>
  </si>
  <si>
    <t>BDI</t>
  </si>
  <si>
    <t>AABC</t>
  </si>
  <si>
    <t>BARILES</t>
  </si>
  <si>
    <t>CHARITY</t>
  </si>
  <si>
    <t>SBTI PHILIPA</t>
  </si>
  <si>
    <t>HARMONY</t>
  </si>
  <si>
    <t>CAB</t>
  </si>
  <si>
    <t>ESPADA</t>
  </si>
  <si>
    <t>ON GOING</t>
  </si>
  <si>
    <t>EMPERADOR</t>
  </si>
  <si>
    <t xml:space="preserve">INV. OF CASA 1400.  BL QTY 1330.930 BALANCE OF 69.07 </t>
  </si>
  <si>
    <t>INV. OF CASA 1500. BL QTY 1478.96 BALANCE OF 21.04</t>
  </si>
  <si>
    <t>AMAZON</t>
  </si>
  <si>
    <t>INV. OF CASA 2100 THE BL QTY 2,099.435 BALANCE OF 0.565</t>
  </si>
  <si>
    <t>INV. OF CASA 2500 THE BL QTY 2,469.460 BALANCE OF 30.54</t>
  </si>
  <si>
    <t>HOPE</t>
  </si>
  <si>
    <t>370.40 MT (BY DISPLACEMENT) 1755.400 (BY TRUCKING) TOTAL RECEIPT QTY. 2125.890 MT</t>
  </si>
  <si>
    <t>EDI (2439.030) + ROB 27.857 TOTAL RECEIPT QTY. 2,466.887 MT</t>
  </si>
  <si>
    <t>1ST KIRSTINE MARIE</t>
  </si>
  <si>
    <t>2ND KIRSTEN MARIE</t>
  </si>
  <si>
    <t>3RD KIRSTEN MARIE</t>
  </si>
  <si>
    <t>LOGISTIC COST</t>
  </si>
  <si>
    <t>LOGISTICS COST</t>
  </si>
  <si>
    <t>BARGING</t>
  </si>
  <si>
    <t>2ND VIOLETTE</t>
  </si>
  <si>
    <t>3RD VIOLETTE</t>
  </si>
  <si>
    <t>4TH VIOLETTE</t>
  </si>
  <si>
    <t>1ST APRIL SHEIN</t>
  </si>
  <si>
    <t>2ND KIRSTEN RAE</t>
  </si>
  <si>
    <t>3RD KIRSTEN RAE</t>
  </si>
  <si>
    <t>1797.16 AT 480 AND 302.275 AT 600 TRUCKING</t>
  </si>
  <si>
    <t>1699.075 AT 750PER MT AND 770.375 AT 840 PER MT TRUCKING</t>
  </si>
  <si>
    <t>2ND APRIL SHEIN</t>
  </si>
  <si>
    <t>4TH KIRSTEN RAE</t>
  </si>
  <si>
    <t>2ND APOSTLE</t>
  </si>
  <si>
    <t>1ST APOSTLE</t>
  </si>
  <si>
    <t xml:space="preserve">900 AT 3000 AND 2100 AT 6500 = 3000 MT the 5450 purchased price is the prorated </t>
  </si>
  <si>
    <t>5TH VIOLETTE</t>
  </si>
  <si>
    <t xml:space="preserve"> 2ND TRUCKING </t>
  </si>
  <si>
    <t>BL QTY 2099.380</t>
  </si>
  <si>
    <t xml:space="preserve">1356.355 AT 8560/MT AND 743.645 AT 3000/MT </t>
  </si>
  <si>
    <t>3RD APRIL SHEIN</t>
  </si>
  <si>
    <t>URC-PASSI</t>
  </si>
  <si>
    <t>ZKYARC</t>
  </si>
  <si>
    <t>4TH KIRSTEN MARIE</t>
  </si>
  <si>
    <t>3RD APOSTLE</t>
  </si>
  <si>
    <t>5TH KIRSTEN RAE</t>
  </si>
  <si>
    <t>6TH VIOLETTE</t>
  </si>
  <si>
    <t>THEN TO CBPI</t>
  </si>
  <si>
    <t xml:space="preserve">TRUCKING 1503.135 AT 960 AND 597.20 AT 840 </t>
  </si>
  <si>
    <t>6591.09 IS PRORATED UNIT PRICE</t>
  </si>
  <si>
    <t>1845.415 AT 8360/MT AND 654.585 AT 3000/MT PRORATED UNIT PRICE 6956.5698</t>
  </si>
  <si>
    <t>URC - SONEDCO</t>
  </si>
  <si>
    <t>PENALTY IN BRIX</t>
  </si>
  <si>
    <t xml:space="preserve">CASA X CAB </t>
  </si>
  <si>
    <t>835.454 AT 690/MT AND1263.925 AT 600/MT TRUCKING PRORATED UNIT PRICE 635.82</t>
  </si>
  <si>
    <t>4TH APRIL SHEIN</t>
  </si>
  <si>
    <t>URC - PASSI</t>
  </si>
  <si>
    <t xml:space="preserve">URC-SONEDCO </t>
  </si>
  <si>
    <t>w/ rob from kirsten marie 2 of 26.046mt</t>
  </si>
  <si>
    <t>TOTAL BL QTY. 2729.730 MT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</si>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</sst>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00_);_(* \(#,##0.0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4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43" fontId="0" fillId="0" borderId="7" xfId="1" applyFont="1" applyBorder="1"/>
    <xf numFmtId="43" fontId="0" fillId="0" borderId="7" xfId="1" applyFont="1" applyBorder="1" applyAlignment="1">
      <alignment horizontal="center"/>
    </xf>
    <xf numFmtId="164" fontId="0" fillId="0" borderId="7" xfId="1" applyNumberFormat="1" applyFont="1" applyBorder="1"/>
    <xf numFmtId="43" fontId="0" fillId="0" borderId="4" xfId="1" applyFont="1" applyBorder="1"/>
    <xf numFmtId="43" fontId="0" fillId="0" borderId="4" xfId="1" applyFont="1" applyBorder="1" applyAlignment="1">
      <alignment horizontal="center"/>
    </xf>
    <xf numFmtId="164" fontId="0" fillId="0" borderId="4" xfId="1" applyNumberFormat="1" applyFont="1" applyBorder="1"/>
    <xf numFmtId="43" fontId="0" fillId="0" borderId="7" xfId="1" applyFont="1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11" xfId="0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0" borderId="7" xfId="0" applyBorder="1" applyAlignment="1">
      <alignment horizontal="right"/>
    </xf>
    <xf numFmtId="43" fontId="0" fillId="0" borderId="7" xfId="1" applyFont="1" applyFill="1" applyBorder="1" applyAlignment="1">
      <alignment horizontal="center"/>
    </xf>
    <xf numFmtId="164" fontId="0" fillId="0" borderId="7" xfId="1" applyNumberFormat="1" applyFont="1" applyFill="1" applyBorder="1"/>
    <xf numFmtId="2" fontId="0" fillId="0" borderId="7" xfId="1" applyNumberFormat="1" applyFont="1" applyBorder="1" applyAlignment="1">
      <alignment horizontal="right"/>
    </xf>
    <xf numFmtId="2" fontId="0" fillId="0" borderId="4" xfId="1" applyNumberFormat="1" applyFont="1" applyBorder="1" applyAlignment="1">
      <alignment horizontal="right"/>
    </xf>
    <xf numFmtId="2" fontId="0" fillId="0" borderId="7" xfId="1" applyNumberFormat="1" applyFont="1" applyFill="1" applyBorder="1" applyAlignment="1">
      <alignment horizontal="right"/>
    </xf>
    <xf numFmtId="2" fontId="0" fillId="0" borderId="0" xfId="1" applyNumberFormat="1" applyFont="1" applyAlignment="1">
      <alignment horizontal="right"/>
    </xf>
    <xf numFmtId="43" fontId="0" fillId="0" borderId="0" xfId="1" applyFont="1" applyFill="1"/>
    <xf numFmtId="43" fontId="0" fillId="0" borderId="0" xfId="1" applyFont="1" applyFill="1" applyAlignment="1">
      <alignment horizontal="center"/>
    </xf>
    <xf numFmtId="2" fontId="0" fillId="0" borderId="0" xfId="1" applyNumberFormat="1" applyFont="1" applyFill="1" applyAlignment="1">
      <alignment horizontal="right"/>
    </xf>
    <xf numFmtId="164" fontId="0" fillId="0" borderId="0" xfId="1" applyNumberFormat="1" applyFont="1" applyFill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3" fontId="2" fillId="0" borderId="2" xfId="1" applyFont="1" applyFill="1" applyBorder="1" applyAlignment="1">
      <alignment horizontal="center"/>
    </xf>
    <xf numFmtId="2" fontId="2" fillId="0" borderId="2" xfId="1" applyNumberFormat="1" applyFont="1" applyFill="1" applyBorder="1" applyAlignment="1">
      <alignment horizontal="right"/>
    </xf>
    <xf numFmtId="164" fontId="2" fillId="0" borderId="2" xfId="1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43" fontId="2" fillId="0" borderId="4" xfId="1" applyFont="1" applyFill="1" applyBorder="1" applyAlignment="1">
      <alignment horizontal="center"/>
    </xf>
    <xf numFmtId="2" fontId="2" fillId="0" borderId="4" xfId="1" applyNumberFormat="1" applyFont="1" applyFill="1" applyBorder="1" applyAlignment="1">
      <alignment horizontal="right"/>
    </xf>
    <xf numFmtId="164" fontId="2" fillId="0" borderId="4" xfId="1" applyNumberFormat="1" applyFont="1" applyFill="1" applyBorder="1" applyAlignment="1">
      <alignment horizontal="center"/>
    </xf>
    <xf numFmtId="14" fontId="0" fillId="0" borderId="7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43" fontId="0" fillId="0" borderId="2" xfId="1" applyFont="1" applyFill="1" applyBorder="1"/>
    <xf numFmtId="43" fontId="0" fillId="0" borderId="2" xfId="1" applyFont="1" applyFill="1" applyBorder="1" applyAlignment="1">
      <alignment horizontal="center"/>
    </xf>
    <xf numFmtId="0" fontId="0" fillId="0" borderId="2" xfId="0" applyBorder="1"/>
    <xf numFmtId="2" fontId="0" fillId="0" borderId="2" xfId="1" applyNumberFormat="1" applyFont="1" applyFill="1" applyBorder="1" applyAlignment="1">
      <alignment horizontal="right"/>
    </xf>
    <xf numFmtId="164" fontId="0" fillId="0" borderId="2" xfId="1" applyNumberFormat="1" applyFont="1" applyFill="1" applyBorder="1"/>
    <xf numFmtId="0" fontId="0" fillId="0" borderId="5" xfId="0" applyBorder="1" applyAlignment="1">
      <alignment horizontal="center"/>
    </xf>
    <xf numFmtId="43" fontId="0" fillId="0" borderId="0" xfId="1" applyFont="1" applyFill="1" applyBorder="1"/>
    <xf numFmtId="43" fontId="0" fillId="0" borderId="0" xfId="1" applyFont="1" applyFill="1" applyBorder="1" applyAlignment="1">
      <alignment horizontal="center"/>
    </xf>
    <xf numFmtId="2" fontId="0" fillId="0" borderId="0" xfId="1" applyNumberFormat="1" applyFont="1" applyFill="1" applyBorder="1" applyAlignment="1">
      <alignment horizontal="right"/>
    </xf>
    <xf numFmtId="164" fontId="0" fillId="0" borderId="0" xfId="1" applyNumberFormat="1" applyFont="1" applyFill="1" applyBorder="1"/>
    <xf numFmtId="14" fontId="0" fillId="0" borderId="4" xfId="0" applyNumberFormat="1" applyBorder="1" applyAlignment="1">
      <alignment horizontal="right"/>
    </xf>
    <xf numFmtId="43" fontId="0" fillId="0" borderId="4" xfId="1" applyFont="1" applyFill="1" applyBorder="1"/>
    <xf numFmtId="43" fontId="0" fillId="0" borderId="4" xfId="1" applyFont="1" applyFill="1" applyBorder="1" applyAlignment="1">
      <alignment horizontal="center"/>
    </xf>
    <xf numFmtId="2" fontId="0" fillId="0" borderId="4" xfId="1" applyNumberFormat="1" applyFont="1" applyFill="1" applyBorder="1" applyAlignment="1">
      <alignment horizontal="right"/>
    </xf>
    <xf numFmtId="164" fontId="0" fillId="0" borderId="4" xfId="1" applyNumberFormat="1" applyFont="1" applyFill="1" applyBorder="1"/>
    <xf numFmtId="165" fontId="0" fillId="0" borderId="4" xfId="0" applyNumberFormat="1" applyBorder="1"/>
    <xf numFmtId="165" fontId="0" fillId="0" borderId="7" xfId="0" applyNumberFormat="1" applyBorder="1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9" xfId="0" applyBorder="1"/>
    <xf numFmtId="43" fontId="0" fillId="0" borderId="2" xfId="1" applyFont="1" applyBorder="1"/>
    <xf numFmtId="43" fontId="0" fillId="0" borderId="2" xfId="1" applyFont="1" applyBorder="1" applyAlignment="1">
      <alignment horizontal="center"/>
    </xf>
    <xf numFmtId="2" fontId="0" fillId="0" borderId="2" xfId="1" applyNumberFormat="1" applyFont="1" applyBorder="1" applyAlignment="1">
      <alignment horizontal="right"/>
    </xf>
    <xf numFmtId="164" fontId="0" fillId="0" borderId="2" xfId="1" applyNumberFormat="1" applyFont="1" applyBorder="1"/>
    <xf numFmtId="166" fontId="0" fillId="0" borderId="2" xfId="1" applyNumberFormat="1" applyFont="1" applyBorder="1" applyAlignment="1">
      <alignment horizontal="center"/>
    </xf>
    <xf numFmtId="166" fontId="0" fillId="0" borderId="4" xfId="1" applyNumberFormat="1" applyFont="1" applyBorder="1" applyAlignment="1">
      <alignment horizontal="center"/>
    </xf>
    <xf numFmtId="43" fontId="2" fillId="0" borderId="9" xfId="1" applyFont="1" applyBorder="1" applyAlignment="1">
      <alignment horizontal="center"/>
    </xf>
    <xf numFmtId="43" fontId="2" fillId="0" borderId="11" xfId="1" applyFont="1" applyBorder="1" applyAlignment="1">
      <alignment horizontal="center"/>
    </xf>
    <xf numFmtId="43" fontId="0" fillId="0" borderId="8" xfId="1" applyFont="1" applyBorder="1"/>
    <xf numFmtId="43" fontId="0" fillId="0" borderId="9" xfId="1" applyFont="1" applyBorder="1"/>
    <xf numFmtId="43" fontId="0" fillId="0" borderId="10" xfId="1" applyFont="1" applyBorder="1"/>
    <xf numFmtId="43" fontId="0" fillId="0" borderId="11" xfId="1" applyFont="1" applyBorder="1"/>
    <xf numFmtId="14" fontId="0" fillId="0" borderId="0" xfId="0" applyNumberFormat="1" applyAlignment="1">
      <alignment horizontal="right"/>
    </xf>
    <xf numFmtId="165" fontId="0" fillId="0" borderId="0" xfId="0" applyNumberFormat="1"/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0" borderId="7" xfId="1" applyNumberFormat="1" applyFont="1" applyBorder="1"/>
    <xf numFmtId="0" fontId="0" fillId="2" borderId="4" xfId="0" applyFill="1" applyBorder="1" applyAlignment="1">
      <alignment horizontal="center"/>
    </xf>
    <xf numFmtId="0" fontId="0" fillId="0" borderId="0" xfId="1" applyNumberFormat="1" applyFont="1" applyAlignment="1">
      <alignment horizontal="left"/>
    </xf>
    <xf numFmtId="43" fontId="0" fillId="0" borderId="0" xfId="1" applyFont="1" applyBorder="1"/>
    <xf numFmtId="43" fontId="0" fillId="0" borderId="0" xfId="1" applyFont="1" applyBorder="1" applyAlignment="1">
      <alignment horizontal="center"/>
    </xf>
    <xf numFmtId="2" fontId="0" fillId="0" borderId="0" xfId="1" applyNumberFormat="1" applyFont="1" applyBorder="1" applyAlignment="1">
      <alignment horizontal="right"/>
    </xf>
    <xf numFmtId="164" fontId="0" fillId="0" borderId="0" xfId="1" applyNumberFormat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7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4500-E59C-AD4C-B30D-B07E19CAE9A2}">
  <dimension ref="A1:O92"/>
  <sheetViews>
    <sheetView tabSelected="1" topLeftCell="A18" zoomScale="81" zoomScaleNormal="68" workbookViewId="0">
      <selection activeCell="H18" sqref="A13:H18"/>
    </sheetView>
  </sheetViews>
  <sheetFormatPr baseColWidth="10" defaultRowHeight="16" x14ac:dyDescent="0.2"/>
  <cols>
    <col min="1" max="1" width="16" style="2" customWidth="1"/>
    <col min="2" max="2" width="11.6640625" style="19" customWidth="1"/>
    <col min="3" max="3" width="18.33203125" style="2" bestFit="1" customWidth="1"/>
    <col min="4" max="4" width="21.33203125" style="2" bestFit="1" customWidth="1"/>
    <col min="5" max="6" width="16" style="3" customWidth="1"/>
    <col min="7" max="7" width="16" style="4" customWidth="1"/>
    <col min="8" max="8" width="16" style="2" customWidth="1"/>
    <col min="9" max="10" width="16" customWidth="1"/>
    <col min="11" max="11" width="16" style="27" customWidth="1"/>
    <col min="12" max="12" width="16" style="1" customWidth="1"/>
    <col min="13" max="13" width="16" style="3" customWidth="1"/>
    <col min="14" max="14" width="79.6640625" bestFit="1" customWidth="1"/>
  </cols>
  <sheetData>
    <row r="1" spans="1:13" ht="19" x14ac:dyDescent="0.25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2"/>
    </row>
    <row r="2" spans="1:13" ht="17" thickBot="1" x14ac:dyDescent="0.25">
      <c r="A2" s="52"/>
      <c r="E2" s="53"/>
      <c r="F2" s="53"/>
      <c r="G2" s="54"/>
      <c r="K2" s="55"/>
      <c r="L2" s="56"/>
      <c r="M2" s="77"/>
    </row>
    <row r="3" spans="1:13" s="2" customFormat="1" x14ac:dyDescent="0.2">
      <c r="A3" s="32" t="s">
        <v>1</v>
      </c>
      <c r="B3" s="33" t="s">
        <v>2</v>
      </c>
      <c r="C3" s="33" t="s">
        <v>3</v>
      </c>
      <c r="D3" s="33" t="s">
        <v>4</v>
      </c>
      <c r="E3" s="34" t="s">
        <v>5</v>
      </c>
      <c r="F3" s="34" t="s">
        <v>52</v>
      </c>
      <c r="G3" s="34" t="s">
        <v>53</v>
      </c>
      <c r="H3" s="33" t="s">
        <v>6</v>
      </c>
      <c r="I3" s="33" t="s">
        <v>7</v>
      </c>
      <c r="J3" s="33" t="s">
        <v>7</v>
      </c>
      <c r="K3" s="35" t="s">
        <v>8</v>
      </c>
      <c r="L3" s="36" t="s">
        <v>9</v>
      </c>
      <c r="M3" s="73" t="s">
        <v>10</v>
      </c>
    </row>
    <row r="4" spans="1:13" ht="17" thickBot="1" x14ac:dyDescent="0.25">
      <c r="A4" s="37"/>
      <c r="B4" s="38"/>
      <c r="C4" s="39"/>
      <c r="D4" s="39"/>
      <c r="E4" s="40" t="s">
        <v>11</v>
      </c>
      <c r="F4" s="40" t="s">
        <v>18</v>
      </c>
      <c r="G4" s="40" t="s">
        <v>54</v>
      </c>
      <c r="H4" s="39"/>
      <c r="I4" s="39" t="s">
        <v>12</v>
      </c>
      <c r="J4" s="39" t="s">
        <v>13</v>
      </c>
      <c r="K4" s="41"/>
      <c r="L4" s="42" t="s">
        <v>11</v>
      </c>
      <c r="M4" s="74" t="s">
        <v>14</v>
      </c>
    </row>
    <row r="5" spans="1:13" ht="17" thickBot="1" x14ac:dyDescent="0.25">
      <c r="A5" s="12">
        <v>3186</v>
      </c>
      <c r="B5" s="43">
        <v>46035</v>
      </c>
      <c r="C5" s="13" t="s">
        <v>15</v>
      </c>
      <c r="D5" s="13" t="s">
        <v>16</v>
      </c>
      <c r="E5" s="11">
        <v>8500</v>
      </c>
      <c r="F5" s="11"/>
      <c r="G5" s="22">
        <v>2085</v>
      </c>
      <c r="H5" s="13" t="s">
        <v>17</v>
      </c>
      <c r="I5" s="14">
        <v>2001.63</v>
      </c>
      <c r="J5" s="14">
        <v>1998.22</v>
      </c>
      <c r="K5" s="26">
        <f>J5-I5</f>
        <v>-3.4100000000000819</v>
      </c>
      <c r="L5" s="23">
        <v>12200</v>
      </c>
      <c r="M5" s="75">
        <f>L5*J5</f>
        <v>24378284</v>
      </c>
    </row>
    <row r="6" spans="1:13" ht="17" thickBot="1" x14ac:dyDescent="0.25">
      <c r="A6" s="12">
        <v>3187</v>
      </c>
      <c r="B6" s="43">
        <v>46035</v>
      </c>
      <c r="C6" s="13" t="s">
        <v>18</v>
      </c>
      <c r="D6" s="13" t="s">
        <v>35</v>
      </c>
      <c r="E6" s="11">
        <v>9000</v>
      </c>
      <c r="F6" s="11">
        <v>165</v>
      </c>
      <c r="G6" s="22"/>
      <c r="H6" s="13" t="s">
        <v>19</v>
      </c>
      <c r="I6" s="14"/>
      <c r="J6" s="14">
        <v>1949.5</v>
      </c>
      <c r="K6" s="26"/>
      <c r="L6" s="23">
        <v>10200</v>
      </c>
      <c r="M6" s="75">
        <f t="shared" ref="M6" si="0">L6*J6</f>
        <v>19884900</v>
      </c>
    </row>
    <row r="7" spans="1:13" x14ac:dyDescent="0.2">
      <c r="A7" s="44"/>
      <c r="B7" s="45"/>
      <c r="C7" s="46"/>
      <c r="D7" s="46"/>
      <c r="E7" s="47"/>
      <c r="F7" s="47"/>
      <c r="G7" s="48"/>
      <c r="H7" s="46"/>
      <c r="I7" s="49"/>
      <c r="J7" s="49"/>
      <c r="K7" s="50"/>
      <c r="L7" s="51"/>
      <c r="M7" s="76"/>
    </row>
    <row r="8" spans="1:13" x14ac:dyDescent="0.2">
      <c r="A8" s="52">
        <v>3188</v>
      </c>
      <c r="B8" s="79">
        <v>46035</v>
      </c>
      <c r="C8" s="2" t="s">
        <v>20</v>
      </c>
      <c r="D8" s="2" t="s">
        <v>21</v>
      </c>
      <c r="E8" s="53">
        <v>5000</v>
      </c>
      <c r="F8" s="53"/>
      <c r="G8" s="54">
        <v>2340</v>
      </c>
      <c r="H8" s="2" t="s">
        <v>19</v>
      </c>
      <c r="I8">
        <v>668.55799999999999</v>
      </c>
      <c r="J8">
        <v>899.66300000000001</v>
      </c>
      <c r="K8" s="55">
        <f>J8-SUM(I8:I9)</f>
        <v>6.2329999999999472</v>
      </c>
      <c r="L8" s="56">
        <v>10200</v>
      </c>
      <c r="M8" s="77">
        <f>SUM(J8*L8)</f>
        <v>9176562.5999999996</v>
      </c>
    </row>
    <row r="9" spans="1:13" ht="17" thickBot="1" x14ac:dyDescent="0.25">
      <c r="A9" s="15"/>
      <c r="B9" s="57"/>
      <c r="C9" s="16"/>
      <c r="D9" s="16" t="s">
        <v>35</v>
      </c>
      <c r="E9" s="58">
        <v>9000</v>
      </c>
      <c r="F9" s="58">
        <v>165</v>
      </c>
      <c r="G9" s="59"/>
      <c r="H9" s="16"/>
      <c r="I9" s="17">
        <v>224.87200000000001</v>
      </c>
      <c r="J9" s="17"/>
      <c r="K9" s="60"/>
      <c r="L9" s="61"/>
      <c r="M9" s="78"/>
    </row>
    <row r="10" spans="1:13" x14ac:dyDescent="0.2">
      <c r="A10" s="44"/>
      <c r="B10" s="45"/>
      <c r="C10" s="46"/>
      <c r="D10" s="46"/>
      <c r="E10" s="47"/>
      <c r="F10" s="47"/>
      <c r="G10" s="48"/>
      <c r="H10" s="46"/>
      <c r="I10" s="49"/>
      <c r="J10" s="49"/>
      <c r="K10" s="50"/>
      <c r="L10" s="51"/>
      <c r="M10" s="76"/>
    </row>
    <row r="11" spans="1:13" x14ac:dyDescent="0.2">
      <c r="A11" s="52">
        <v>3189</v>
      </c>
      <c r="B11" s="79">
        <v>46036</v>
      </c>
      <c r="C11" s="2" t="s">
        <v>22</v>
      </c>
      <c r="D11" s="2" t="s">
        <v>21</v>
      </c>
      <c r="E11" s="53">
        <v>5000</v>
      </c>
      <c r="F11" s="53"/>
      <c r="G11" s="54">
        <v>2340</v>
      </c>
      <c r="H11" s="2" t="s">
        <v>19</v>
      </c>
      <c r="I11" s="80">
        <v>1124.991</v>
      </c>
      <c r="J11">
        <v>1444.7940000000001</v>
      </c>
      <c r="K11" s="55">
        <f>J11-SUM(I11:I12)</f>
        <v>-10.946999999999889</v>
      </c>
      <c r="L11" s="56">
        <v>10200</v>
      </c>
      <c r="M11" s="77">
        <f>L11*J11</f>
        <v>14736898.800000001</v>
      </c>
    </row>
    <row r="12" spans="1:13" ht="17" thickBot="1" x14ac:dyDescent="0.25">
      <c r="A12" s="15"/>
      <c r="B12" s="57"/>
      <c r="C12" s="16"/>
      <c r="D12" s="16" t="s">
        <v>35</v>
      </c>
      <c r="E12" s="58">
        <v>9000</v>
      </c>
      <c r="F12" s="58">
        <v>165</v>
      </c>
      <c r="G12" s="59"/>
      <c r="H12" s="16"/>
      <c r="I12" s="62">
        <v>330.75</v>
      </c>
      <c r="J12" s="17"/>
      <c r="K12" s="60"/>
      <c r="L12" s="61"/>
      <c r="M12" s="78"/>
    </row>
    <row r="13" spans="1:13" ht="17" thickBot="1" x14ac:dyDescent="0.25">
      <c r="A13" s="15">
        <v>3190</v>
      </c>
      <c r="B13" s="57">
        <v>46041</v>
      </c>
      <c r="C13" s="16" t="s">
        <v>18</v>
      </c>
      <c r="D13" s="16" t="s">
        <v>23</v>
      </c>
      <c r="E13" s="58">
        <v>11500</v>
      </c>
      <c r="F13" s="58">
        <v>175</v>
      </c>
      <c r="G13" s="59"/>
      <c r="H13" s="16" t="s">
        <v>17</v>
      </c>
      <c r="I13" s="62">
        <v>1620.21</v>
      </c>
      <c r="J13" s="17">
        <v>1627.96</v>
      </c>
      <c r="K13" s="60">
        <f>J13-I13</f>
        <v>7.75</v>
      </c>
      <c r="L13" s="61">
        <v>12200</v>
      </c>
      <c r="M13" s="78">
        <f t="shared" ref="M13:M19" si="1">L13*J13</f>
        <v>19861112</v>
      </c>
    </row>
    <row r="14" spans="1:13" ht="17" thickBot="1" x14ac:dyDescent="0.25">
      <c r="A14" s="12">
        <v>3206</v>
      </c>
      <c r="B14" s="43">
        <v>46041</v>
      </c>
      <c r="C14" s="13" t="s">
        <v>24</v>
      </c>
      <c r="D14" s="13" t="s">
        <v>16</v>
      </c>
      <c r="E14" s="11">
        <v>8500</v>
      </c>
      <c r="F14" s="11"/>
      <c r="G14" s="22">
        <v>2085</v>
      </c>
      <c r="H14" s="13" t="s">
        <v>17</v>
      </c>
      <c r="I14" s="63">
        <v>1143.3599999999999</v>
      </c>
      <c r="J14" s="14">
        <v>1138.68</v>
      </c>
      <c r="K14" s="26">
        <f t="shared" ref="K14" si="2">J14-I14</f>
        <v>-4.6799999999998363</v>
      </c>
      <c r="L14" s="23">
        <v>12200</v>
      </c>
      <c r="M14" s="75">
        <f t="shared" si="1"/>
        <v>13891896</v>
      </c>
    </row>
    <row r="15" spans="1:13" ht="17" thickBot="1" x14ac:dyDescent="0.25">
      <c r="A15" s="12">
        <v>3209</v>
      </c>
      <c r="B15" s="43">
        <v>46048</v>
      </c>
      <c r="C15" s="13" t="s">
        <v>25</v>
      </c>
      <c r="D15" s="13" t="s">
        <v>16</v>
      </c>
      <c r="E15" s="11">
        <v>8500</v>
      </c>
      <c r="F15" s="11"/>
      <c r="G15" s="22">
        <v>2085</v>
      </c>
      <c r="H15" s="13" t="s">
        <v>17</v>
      </c>
      <c r="I15" s="63">
        <v>1929.81</v>
      </c>
      <c r="J15" s="14">
        <v>1920.87</v>
      </c>
      <c r="K15" s="26">
        <f t="shared" ref="K15:K20" si="3">J15-I15</f>
        <v>-8.9400000000000546</v>
      </c>
      <c r="L15" s="23">
        <v>12200</v>
      </c>
      <c r="M15" s="75">
        <f t="shared" si="1"/>
        <v>23434614</v>
      </c>
    </row>
    <row r="16" spans="1:13" ht="17" thickBot="1" x14ac:dyDescent="0.25">
      <c r="A16" s="12">
        <v>3210</v>
      </c>
      <c r="B16" s="43">
        <v>46048</v>
      </c>
      <c r="C16" s="13" t="s">
        <v>18</v>
      </c>
      <c r="D16" s="13" t="s">
        <v>23</v>
      </c>
      <c r="E16" s="11">
        <v>11500</v>
      </c>
      <c r="F16" s="11">
        <v>175</v>
      </c>
      <c r="G16" s="22"/>
      <c r="H16" s="13" t="s">
        <v>17</v>
      </c>
      <c r="I16" s="14">
        <v>903.2</v>
      </c>
      <c r="J16" s="14">
        <v>902.58</v>
      </c>
      <c r="K16" s="26">
        <f t="shared" si="3"/>
        <v>-0.62000000000000455</v>
      </c>
      <c r="L16" s="23">
        <v>12200</v>
      </c>
      <c r="M16" s="75">
        <f t="shared" si="1"/>
        <v>11011476</v>
      </c>
    </row>
    <row r="17" spans="1:14" ht="17" thickBot="1" x14ac:dyDescent="0.25">
      <c r="A17" s="12">
        <v>3230</v>
      </c>
      <c r="B17" s="43">
        <v>46063</v>
      </c>
      <c r="C17" s="13" t="s">
        <v>18</v>
      </c>
      <c r="D17" s="13" t="s">
        <v>23</v>
      </c>
      <c r="E17" s="11">
        <v>11500</v>
      </c>
      <c r="F17" s="11">
        <v>175</v>
      </c>
      <c r="G17" s="22"/>
      <c r="H17" s="13" t="s">
        <v>17</v>
      </c>
      <c r="I17" s="14">
        <v>892.12</v>
      </c>
      <c r="J17" s="14">
        <v>895.09</v>
      </c>
      <c r="K17" s="26">
        <f t="shared" si="3"/>
        <v>2.9700000000000273</v>
      </c>
      <c r="L17" s="23">
        <v>12200</v>
      </c>
      <c r="M17" s="75">
        <f t="shared" si="1"/>
        <v>10920098</v>
      </c>
    </row>
    <row r="18" spans="1:14" ht="17" thickBot="1" x14ac:dyDescent="0.25">
      <c r="A18" s="12">
        <v>3231</v>
      </c>
      <c r="B18" s="43">
        <v>46065</v>
      </c>
      <c r="C18" s="13" t="s">
        <v>27</v>
      </c>
      <c r="D18" s="13" t="s">
        <v>26</v>
      </c>
      <c r="E18" s="11">
        <v>5500</v>
      </c>
      <c r="F18" s="11">
        <v>165</v>
      </c>
      <c r="G18" s="22">
        <v>2340</v>
      </c>
      <c r="H18" s="13" t="s">
        <v>92</v>
      </c>
      <c r="I18" s="63">
        <v>2411.3040000000001</v>
      </c>
      <c r="J18" s="14">
        <v>2367.9499999999998</v>
      </c>
      <c r="K18" s="26">
        <f t="shared" si="3"/>
        <v>-43.354000000000269</v>
      </c>
      <c r="L18" s="23">
        <v>12200</v>
      </c>
      <c r="M18" s="75">
        <f t="shared" si="1"/>
        <v>28888989.999999996</v>
      </c>
    </row>
    <row r="19" spans="1:14" ht="17" thickBot="1" x14ac:dyDescent="0.25">
      <c r="A19" s="12">
        <v>3234</v>
      </c>
      <c r="B19" s="43">
        <v>46078</v>
      </c>
      <c r="C19" s="13" t="s">
        <v>29</v>
      </c>
      <c r="D19" s="13" t="s">
        <v>26</v>
      </c>
      <c r="E19" s="11">
        <v>7200</v>
      </c>
      <c r="F19" s="11"/>
      <c r="G19" s="11">
        <v>1680</v>
      </c>
      <c r="H19" s="13" t="s">
        <v>30</v>
      </c>
      <c r="I19" s="14">
        <v>2207.7800000000002</v>
      </c>
      <c r="J19" s="14">
        <v>2217.0650000000001</v>
      </c>
      <c r="K19" s="26">
        <f t="shared" si="3"/>
        <v>9.2849999999998545</v>
      </c>
      <c r="L19" s="11">
        <v>10500</v>
      </c>
      <c r="M19" s="75">
        <f t="shared" si="1"/>
        <v>23279182.5</v>
      </c>
    </row>
    <row r="20" spans="1:14" ht="17" thickBot="1" x14ac:dyDescent="0.25">
      <c r="A20" s="12"/>
      <c r="B20" s="43">
        <v>46060</v>
      </c>
      <c r="C20" s="13" t="s">
        <v>27</v>
      </c>
      <c r="D20" s="13" t="s">
        <v>26</v>
      </c>
      <c r="E20" s="11">
        <v>7200</v>
      </c>
      <c r="F20" s="11"/>
      <c r="G20" s="22">
        <v>2340</v>
      </c>
      <c r="H20" s="13" t="s">
        <v>28</v>
      </c>
      <c r="I20" s="63">
        <v>2412.9760000000001</v>
      </c>
      <c r="J20" s="14">
        <v>2515.94</v>
      </c>
      <c r="K20" s="26">
        <f t="shared" si="3"/>
        <v>102.96399999999994</v>
      </c>
      <c r="L20" s="23"/>
      <c r="M20" s="75"/>
    </row>
    <row r="21" spans="1:14" ht="17" thickBot="1" x14ac:dyDescent="0.25">
      <c r="A21" s="12">
        <v>3277</v>
      </c>
      <c r="B21" s="43">
        <v>46092</v>
      </c>
      <c r="C21" s="13" t="s">
        <v>34</v>
      </c>
      <c r="D21" s="13" t="s">
        <v>26</v>
      </c>
      <c r="E21" s="11">
        <v>7200</v>
      </c>
      <c r="F21" s="11"/>
      <c r="G21" s="11">
        <v>1680</v>
      </c>
      <c r="H21" s="13" t="s">
        <v>30</v>
      </c>
      <c r="I21" s="14">
        <v>1791.6120000000001</v>
      </c>
      <c r="J21" s="14">
        <v>1760.4349999999999</v>
      </c>
      <c r="K21" s="26">
        <f>J21-I21</f>
        <v>-31.177000000000135</v>
      </c>
      <c r="L21" s="11">
        <v>10500</v>
      </c>
      <c r="M21" s="75">
        <f t="shared" ref="M21:M34" si="4">L21*J21</f>
        <v>18484567.5</v>
      </c>
    </row>
    <row r="22" spans="1:14" ht="17" thickBot="1" x14ac:dyDescent="0.25">
      <c r="A22" s="12">
        <v>3278</v>
      </c>
      <c r="B22" s="43">
        <v>46092</v>
      </c>
      <c r="C22" s="13" t="s">
        <v>29</v>
      </c>
      <c r="D22" s="13" t="s">
        <v>32</v>
      </c>
      <c r="E22" s="11">
        <v>10250</v>
      </c>
      <c r="F22" s="11"/>
      <c r="G22" s="11">
        <v>2600</v>
      </c>
      <c r="H22" s="13" t="s">
        <v>30</v>
      </c>
      <c r="I22" s="14">
        <v>2178.58</v>
      </c>
      <c r="J22" s="14">
        <v>2167.8649999999998</v>
      </c>
      <c r="K22" s="26">
        <f>J22-I22</f>
        <v>-10.715000000000146</v>
      </c>
      <c r="L22" s="11">
        <v>10500</v>
      </c>
      <c r="M22" s="75">
        <f t="shared" si="4"/>
        <v>22762582.499999996</v>
      </c>
    </row>
    <row r="23" spans="1:14" ht="17" thickBot="1" x14ac:dyDescent="0.25">
      <c r="A23" s="12">
        <v>3279</v>
      </c>
      <c r="B23" s="43">
        <v>46092</v>
      </c>
      <c r="C23" s="13" t="s">
        <v>22</v>
      </c>
      <c r="D23" s="13" t="s">
        <v>21</v>
      </c>
      <c r="E23" s="11">
        <v>5000</v>
      </c>
      <c r="F23" s="11">
        <v>495</v>
      </c>
      <c r="G23" s="11">
        <v>1745</v>
      </c>
      <c r="H23" s="13" t="s">
        <v>19</v>
      </c>
      <c r="I23" s="11">
        <v>1478.96</v>
      </c>
      <c r="J23" s="14">
        <v>1485.38</v>
      </c>
      <c r="K23" s="26">
        <f>J23-I23</f>
        <v>6.4200000000000728</v>
      </c>
      <c r="L23" s="11">
        <v>10200</v>
      </c>
      <c r="M23" s="75">
        <f t="shared" si="4"/>
        <v>15150876.000000002</v>
      </c>
      <c r="N23" t="s">
        <v>42</v>
      </c>
    </row>
    <row r="24" spans="1:14" x14ac:dyDescent="0.2">
      <c r="A24" s="44">
        <v>3280</v>
      </c>
      <c r="B24" s="45">
        <v>46092</v>
      </c>
      <c r="C24" s="46" t="s">
        <v>49</v>
      </c>
      <c r="D24" s="46" t="s">
        <v>21</v>
      </c>
      <c r="E24" s="47">
        <v>3000</v>
      </c>
      <c r="F24" s="47">
        <v>495</v>
      </c>
      <c r="G24" s="47">
        <v>2200</v>
      </c>
      <c r="H24" s="46" t="s">
        <v>19</v>
      </c>
      <c r="I24" s="49">
        <v>603.55999999999995</v>
      </c>
      <c r="J24" s="49"/>
      <c r="K24" s="50"/>
      <c r="L24" s="47"/>
      <c r="M24" s="76">
        <f t="shared" si="4"/>
        <v>0</v>
      </c>
    </row>
    <row r="25" spans="1:14" x14ac:dyDescent="0.2">
      <c r="A25" s="52"/>
      <c r="E25" s="53">
        <v>5000</v>
      </c>
      <c r="F25" s="53"/>
      <c r="G25" s="53"/>
      <c r="H25" s="2" t="s">
        <v>19</v>
      </c>
      <c r="I25">
        <v>120.35</v>
      </c>
      <c r="K25" s="55"/>
      <c r="L25" s="53"/>
      <c r="M25" s="77">
        <f t="shared" si="4"/>
        <v>0</v>
      </c>
      <c r="N25">
        <f>SUM(I24:I26)</f>
        <v>2464.625</v>
      </c>
    </row>
    <row r="26" spans="1:14" ht="17" thickBot="1" x14ac:dyDescent="0.25">
      <c r="A26" s="15"/>
      <c r="B26" s="20"/>
      <c r="C26" s="16"/>
      <c r="D26" s="16"/>
      <c r="E26" s="58">
        <v>6000</v>
      </c>
      <c r="F26" s="58"/>
      <c r="G26" s="58"/>
      <c r="H26" s="16" t="s">
        <v>19</v>
      </c>
      <c r="I26" s="58">
        <v>1740.7149999999999</v>
      </c>
      <c r="J26" s="17">
        <v>2443.48</v>
      </c>
      <c r="K26" s="60">
        <f>J26-SUM(I24:I26)</f>
        <v>-21.144999999999982</v>
      </c>
      <c r="L26" s="58">
        <v>10200</v>
      </c>
      <c r="M26" s="78">
        <f t="shared" si="4"/>
        <v>24923496</v>
      </c>
    </row>
    <row r="27" spans="1:14" ht="17" thickBot="1" x14ac:dyDescent="0.25">
      <c r="A27" s="44">
        <v>3283</v>
      </c>
      <c r="B27" s="45">
        <v>46098</v>
      </c>
      <c r="C27" s="46" t="s">
        <v>34</v>
      </c>
      <c r="D27" s="46" t="s">
        <v>26</v>
      </c>
      <c r="E27" s="47">
        <v>10300</v>
      </c>
      <c r="F27" s="47"/>
      <c r="G27" s="48">
        <v>2100</v>
      </c>
      <c r="H27" s="46" t="s">
        <v>30</v>
      </c>
      <c r="I27" s="49">
        <v>1742.2190000000001</v>
      </c>
      <c r="J27" s="49">
        <v>1779.02</v>
      </c>
      <c r="K27" s="50">
        <f>J27-I27</f>
        <v>36.800999999999931</v>
      </c>
      <c r="L27" s="51">
        <v>10500</v>
      </c>
      <c r="M27" s="77">
        <f t="shared" si="4"/>
        <v>18679710</v>
      </c>
    </row>
    <row r="28" spans="1:14" x14ac:dyDescent="0.2">
      <c r="A28" s="44">
        <v>3292</v>
      </c>
      <c r="B28" s="45">
        <v>46105</v>
      </c>
      <c r="C28" s="46" t="s">
        <v>55</v>
      </c>
      <c r="D28" s="46" t="s">
        <v>26</v>
      </c>
      <c r="E28" s="47">
        <v>7200</v>
      </c>
      <c r="F28" s="47"/>
      <c r="G28" s="48">
        <v>2340</v>
      </c>
      <c r="H28" s="46" t="s">
        <v>31</v>
      </c>
      <c r="I28" s="48">
        <v>1942.49</v>
      </c>
      <c r="J28" s="49"/>
      <c r="K28" s="50"/>
      <c r="L28" s="51"/>
      <c r="M28" s="76">
        <f t="shared" si="4"/>
        <v>0</v>
      </c>
    </row>
    <row r="29" spans="1:14" ht="17" thickBot="1" x14ac:dyDescent="0.25">
      <c r="A29" s="15"/>
      <c r="B29" s="20"/>
      <c r="C29" s="16"/>
      <c r="D29" s="16"/>
      <c r="E29" s="58">
        <v>10300</v>
      </c>
      <c r="F29" s="58"/>
      <c r="G29" s="59"/>
      <c r="H29" s="16"/>
      <c r="I29" s="59">
        <v>1469.9469999999999</v>
      </c>
      <c r="J29" s="17">
        <v>3413.3229999999999</v>
      </c>
      <c r="K29" s="60">
        <f>J29-SUM(I28:I29)</f>
        <v>0.88599999999996726</v>
      </c>
      <c r="L29" s="61">
        <v>11540</v>
      </c>
      <c r="M29" s="78">
        <f t="shared" si="4"/>
        <v>39389747.420000002</v>
      </c>
    </row>
    <row r="30" spans="1:14" x14ac:dyDescent="0.2">
      <c r="A30" s="44">
        <v>3293</v>
      </c>
      <c r="B30" s="45">
        <v>46105</v>
      </c>
      <c r="C30" s="46" t="s">
        <v>33</v>
      </c>
      <c r="D30" s="46" t="s">
        <v>21</v>
      </c>
      <c r="E30" s="47">
        <v>3000</v>
      </c>
      <c r="F30" s="47"/>
      <c r="G30" s="47"/>
      <c r="H30" s="46" t="s">
        <v>19</v>
      </c>
      <c r="I30" s="49">
        <v>300</v>
      </c>
      <c r="J30" s="49"/>
      <c r="K30" s="50"/>
      <c r="L30" s="47"/>
      <c r="M30" s="76">
        <f t="shared" si="4"/>
        <v>0</v>
      </c>
      <c r="N30" t="s">
        <v>41</v>
      </c>
    </row>
    <row r="31" spans="1:14" ht="17" thickBot="1" x14ac:dyDescent="0.25">
      <c r="A31" s="15"/>
      <c r="B31" s="20"/>
      <c r="C31" s="16"/>
      <c r="D31" s="16"/>
      <c r="E31" s="58">
        <v>6000</v>
      </c>
      <c r="F31" s="58"/>
      <c r="G31" s="59"/>
      <c r="H31" s="16"/>
      <c r="I31" s="17">
        <v>1100</v>
      </c>
      <c r="J31" s="17">
        <v>1331.4110000000001</v>
      </c>
      <c r="K31" s="60">
        <f>J31-1330.93</f>
        <v>0.48099999999999454</v>
      </c>
      <c r="L31" s="61">
        <v>10200</v>
      </c>
      <c r="M31" s="78">
        <f t="shared" si="4"/>
        <v>13580392.200000001</v>
      </c>
    </row>
    <row r="32" spans="1:14" ht="17" thickBot="1" x14ac:dyDescent="0.25">
      <c r="A32" s="15">
        <v>3295</v>
      </c>
      <c r="B32" s="57">
        <v>46108</v>
      </c>
      <c r="C32" s="16" t="s">
        <v>29</v>
      </c>
      <c r="D32" s="16" t="s">
        <v>26</v>
      </c>
      <c r="E32" s="58">
        <v>10300</v>
      </c>
      <c r="F32" s="58"/>
      <c r="G32" s="59">
        <v>2340</v>
      </c>
      <c r="H32" s="16" t="s">
        <v>30</v>
      </c>
      <c r="I32" s="17">
        <v>2205.7379999999998</v>
      </c>
      <c r="J32" s="17">
        <v>2230.375</v>
      </c>
      <c r="K32" s="60">
        <f>J32-I32</f>
        <v>24.637000000000171</v>
      </c>
      <c r="L32" s="61">
        <v>10500</v>
      </c>
      <c r="M32" s="78">
        <f t="shared" si="4"/>
        <v>23418937.5</v>
      </c>
    </row>
    <row r="33" spans="1:15" ht="17" thickBot="1" x14ac:dyDescent="0.25">
      <c r="A33" s="12">
        <v>3296</v>
      </c>
      <c r="B33" s="43">
        <v>46112</v>
      </c>
      <c r="C33" s="13" t="s">
        <v>38</v>
      </c>
      <c r="D33" s="13" t="s">
        <v>26</v>
      </c>
      <c r="E33" s="11">
        <v>10300</v>
      </c>
      <c r="F33" s="11"/>
      <c r="G33" s="22">
        <v>3500</v>
      </c>
      <c r="H33" s="13" t="s">
        <v>31</v>
      </c>
      <c r="I33" s="14">
        <v>1846.9259999999999</v>
      </c>
      <c r="J33" s="14">
        <v>1847.164</v>
      </c>
      <c r="K33" s="26">
        <f>J33-I33</f>
        <v>0.23800000000005639</v>
      </c>
      <c r="L33" s="23">
        <v>11540</v>
      </c>
      <c r="M33" s="78">
        <f t="shared" si="4"/>
        <v>21316272.559999999</v>
      </c>
    </row>
    <row r="34" spans="1:15" ht="17" thickBot="1" x14ac:dyDescent="0.25">
      <c r="A34" s="44">
        <v>3297</v>
      </c>
      <c r="B34" s="45">
        <v>46112</v>
      </c>
      <c r="C34" s="46" t="s">
        <v>36</v>
      </c>
      <c r="D34" s="46" t="s">
        <v>32</v>
      </c>
      <c r="E34" s="47">
        <v>10250</v>
      </c>
      <c r="F34" s="47"/>
      <c r="G34" s="48">
        <v>3080</v>
      </c>
      <c r="H34" s="46" t="s">
        <v>31</v>
      </c>
      <c r="I34" s="49">
        <v>2500.4499999999998</v>
      </c>
      <c r="J34" s="48">
        <v>2499.924</v>
      </c>
      <c r="K34" s="50">
        <f>J34-I34</f>
        <v>-0.52599999999983993</v>
      </c>
      <c r="L34" s="51">
        <v>11540</v>
      </c>
      <c r="M34" s="77">
        <f t="shared" si="4"/>
        <v>28849122.960000001</v>
      </c>
    </row>
    <row r="35" spans="1:15" x14ac:dyDescent="0.2">
      <c r="A35" s="44">
        <v>3317</v>
      </c>
      <c r="B35" s="45">
        <v>46122</v>
      </c>
      <c r="C35" s="46" t="s">
        <v>50</v>
      </c>
      <c r="D35" s="46" t="s">
        <v>21</v>
      </c>
      <c r="E35" s="47">
        <v>3000</v>
      </c>
      <c r="F35" s="47">
        <v>750</v>
      </c>
      <c r="G35" s="48">
        <v>2200</v>
      </c>
      <c r="H35" s="46" t="s">
        <v>40</v>
      </c>
      <c r="I35" s="49">
        <v>800</v>
      </c>
      <c r="J35" s="49">
        <v>2439.0300000000002</v>
      </c>
      <c r="K35" s="50">
        <f>SUM(J35:J36)-SUM(I35:I39)</f>
        <v>-33.0949999999998</v>
      </c>
      <c r="L35" s="51">
        <v>11900</v>
      </c>
      <c r="M35" s="76">
        <f>J35*L35</f>
        <v>29024457.000000004</v>
      </c>
      <c r="N35" t="s">
        <v>45</v>
      </c>
      <c r="O35" t="s">
        <v>62</v>
      </c>
    </row>
    <row r="36" spans="1:15" x14ac:dyDescent="0.2">
      <c r="A36" s="52"/>
      <c r="E36" s="53">
        <v>6000</v>
      </c>
      <c r="F36" s="53">
        <v>840</v>
      </c>
      <c r="G36" s="54"/>
      <c r="I36">
        <v>659.28499999999997</v>
      </c>
      <c r="J36">
        <v>27.875</v>
      </c>
      <c r="K36" s="55"/>
      <c r="L36" s="56"/>
      <c r="M36" s="77"/>
      <c r="N36" t="s">
        <v>48</v>
      </c>
    </row>
    <row r="37" spans="1:15" x14ac:dyDescent="0.2">
      <c r="A37" s="52"/>
      <c r="E37" s="53">
        <v>8060</v>
      </c>
      <c r="F37" s="53"/>
      <c r="G37" s="54"/>
      <c r="I37">
        <v>640.71500000000003</v>
      </c>
      <c r="K37" s="55"/>
      <c r="L37" s="56"/>
      <c r="M37" s="77"/>
    </row>
    <row r="38" spans="1:15" x14ac:dyDescent="0.2">
      <c r="A38" s="52"/>
      <c r="E38" s="53">
        <v>3000</v>
      </c>
      <c r="F38" s="53"/>
      <c r="G38" s="54"/>
      <c r="I38">
        <v>100</v>
      </c>
      <c r="K38" s="55"/>
      <c r="L38" s="56"/>
      <c r="M38" s="77"/>
    </row>
    <row r="39" spans="1:15" ht="17" thickBot="1" x14ac:dyDescent="0.25">
      <c r="A39" s="52"/>
      <c r="E39" s="53">
        <v>8060</v>
      </c>
      <c r="F39" s="53"/>
      <c r="G39" s="54"/>
      <c r="I39">
        <v>300</v>
      </c>
      <c r="K39" s="55"/>
      <c r="L39" s="56"/>
      <c r="M39" s="77"/>
    </row>
    <row r="40" spans="1:15" x14ac:dyDescent="0.2">
      <c r="A40" s="44">
        <v>3318</v>
      </c>
      <c r="B40" s="45">
        <v>46122</v>
      </c>
      <c r="C40" s="46" t="s">
        <v>59</v>
      </c>
      <c r="D40" s="46" t="s">
        <v>21</v>
      </c>
      <c r="E40" s="47">
        <v>3000</v>
      </c>
      <c r="F40" s="47">
        <v>480</v>
      </c>
      <c r="G40" s="48">
        <v>2200</v>
      </c>
      <c r="H40" s="46" t="s">
        <v>40</v>
      </c>
      <c r="I40" s="49">
        <v>600</v>
      </c>
      <c r="J40" s="49">
        <v>1755.4</v>
      </c>
      <c r="K40" s="50">
        <f>SUM(J40:J41)-SUM(I40:I41)</f>
        <v>25.400000000000091</v>
      </c>
      <c r="L40" s="51">
        <v>11900</v>
      </c>
      <c r="M40" s="76"/>
      <c r="N40" t="s">
        <v>47</v>
      </c>
    </row>
    <row r="41" spans="1:15" ht="17" thickBot="1" x14ac:dyDescent="0.25">
      <c r="A41" s="15">
        <v>3354</v>
      </c>
      <c r="B41" s="57">
        <v>46122</v>
      </c>
      <c r="C41" s="16"/>
      <c r="D41" s="16"/>
      <c r="E41" s="58">
        <v>6000</v>
      </c>
      <c r="F41" s="58">
        <v>600</v>
      </c>
      <c r="G41" s="59"/>
      <c r="H41" s="16"/>
      <c r="I41" s="17">
        <v>1500</v>
      </c>
      <c r="J41" s="17">
        <v>370</v>
      </c>
      <c r="K41" s="17"/>
      <c r="L41" s="61">
        <v>11900</v>
      </c>
      <c r="M41" s="78"/>
      <c r="N41" t="s">
        <v>44</v>
      </c>
      <c r="O41" t="s">
        <v>61</v>
      </c>
    </row>
    <row r="42" spans="1:15" ht="17" thickBot="1" x14ac:dyDescent="0.25">
      <c r="A42" s="15">
        <v>3355</v>
      </c>
      <c r="B42" s="57">
        <v>46122</v>
      </c>
      <c r="C42" s="16" t="s">
        <v>18</v>
      </c>
      <c r="D42" s="16" t="s">
        <v>28</v>
      </c>
      <c r="E42" s="58">
        <v>11500</v>
      </c>
      <c r="F42" s="58">
        <v>205</v>
      </c>
      <c r="G42" s="59"/>
      <c r="H42" s="16" t="s">
        <v>40</v>
      </c>
      <c r="I42" s="20">
        <v>652.79999999999995</v>
      </c>
      <c r="J42" s="20">
        <v>652.30999999999995</v>
      </c>
      <c r="K42" s="60">
        <f>J42-I42</f>
        <v>-0.49000000000000909</v>
      </c>
      <c r="L42" s="61">
        <v>11900</v>
      </c>
      <c r="M42" s="78">
        <f>L42*J42</f>
        <v>7762488.9999999991</v>
      </c>
    </row>
    <row r="43" spans="1:15" ht="17" thickBot="1" x14ac:dyDescent="0.25">
      <c r="A43" s="12">
        <v>3357</v>
      </c>
      <c r="B43" s="43">
        <v>46127</v>
      </c>
      <c r="C43" s="13" t="s">
        <v>56</v>
      </c>
      <c r="D43" s="13" t="s">
        <v>26</v>
      </c>
      <c r="E43" s="11">
        <v>10300</v>
      </c>
      <c r="F43" s="11"/>
      <c r="G43" s="22">
        <v>2680</v>
      </c>
      <c r="H43" s="13" t="s">
        <v>31</v>
      </c>
      <c r="I43" s="14">
        <v>3452.9110000000001</v>
      </c>
      <c r="J43" s="14">
        <v>3453.22</v>
      </c>
      <c r="K43" s="26">
        <f>J43-I43</f>
        <v>0.3089999999997417</v>
      </c>
      <c r="L43" s="23">
        <v>11540</v>
      </c>
      <c r="M43" s="75">
        <f>L43*J43</f>
        <v>39850158.799999997</v>
      </c>
    </row>
    <row r="44" spans="1:15" ht="17" thickBot="1" x14ac:dyDescent="0.25">
      <c r="A44" s="12">
        <v>3358</v>
      </c>
      <c r="B44" s="43">
        <v>46132</v>
      </c>
      <c r="C44" s="13" t="s">
        <v>36</v>
      </c>
      <c r="D44" s="13" t="s">
        <v>26</v>
      </c>
      <c r="E44" s="11">
        <v>10300</v>
      </c>
      <c r="F44" s="11"/>
      <c r="G44" s="22">
        <v>2955.76</v>
      </c>
      <c r="H44" s="13" t="s">
        <v>31</v>
      </c>
      <c r="I44" s="14">
        <v>2537.395</v>
      </c>
      <c r="J44" s="14">
        <v>2536.9110000000001</v>
      </c>
      <c r="K44" s="26">
        <f>J44-I44</f>
        <v>-0.4839999999999236</v>
      </c>
      <c r="L44" s="23">
        <v>11540</v>
      </c>
      <c r="M44" s="75">
        <f>L44*J44</f>
        <v>29275952.940000001</v>
      </c>
    </row>
    <row r="45" spans="1:15" ht="17" thickBot="1" x14ac:dyDescent="0.25">
      <c r="A45" s="12">
        <v>3359</v>
      </c>
      <c r="B45" s="43">
        <v>46134</v>
      </c>
      <c r="C45" s="13" t="s">
        <v>58</v>
      </c>
      <c r="D45" s="13" t="s">
        <v>26</v>
      </c>
      <c r="E45" s="11">
        <v>10300</v>
      </c>
      <c r="F45" s="11"/>
      <c r="G45" s="22">
        <v>2680</v>
      </c>
      <c r="H45" s="13" t="s">
        <v>31</v>
      </c>
      <c r="I45" s="14">
        <v>2800.0079999999998</v>
      </c>
      <c r="J45" s="14">
        <v>2801.3829999999998</v>
      </c>
      <c r="K45" s="26">
        <f>J45-I45</f>
        <v>1.375</v>
      </c>
      <c r="L45" s="23">
        <v>11540</v>
      </c>
      <c r="M45" s="75">
        <f t="shared" ref="M45:M47" si="5">L45*J45</f>
        <v>32327959.819999997</v>
      </c>
    </row>
    <row r="46" spans="1:15" ht="17" thickBot="1" x14ac:dyDescent="0.25">
      <c r="A46" s="44">
        <v>3361</v>
      </c>
      <c r="B46" s="45">
        <v>46136</v>
      </c>
      <c r="C46" s="46" t="s">
        <v>46</v>
      </c>
      <c r="D46" s="46" t="s">
        <v>26</v>
      </c>
      <c r="E46" s="67">
        <v>10300</v>
      </c>
      <c r="F46" s="67"/>
      <c r="G46" s="68">
        <v>3300</v>
      </c>
      <c r="H46" s="46" t="s">
        <v>30</v>
      </c>
      <c r="I46" s="49">
        <v>1906.2159999999999</v>
      </c>
      <c r="J46" s="49">
        <v>1917.03</v>
      </c>
      <c r="K46" s="69">
        <f>J46-I46</f>
        <v>10.814000000000078</v>
      </c>
      <c r="L46" s="70">
        <v>10500</v>
      </c>
      <c r="M46" s="76">
        <f t="shared" si="5"/>
        <v>20128815</v>
      </c>
    </row>
    <row r="47" spans="1:15" x14ac:dyDescent="0.2">
      <c r="A47" s="44">
        <v>3362</v>
      </c>
      <c r="B47" s="45">
        <v>46139</v>
      </c>
      <c r="C47" s="46" t="s">
        <v>66</v>
      </c>
      <c r="D47" s="46" t="s">
        <v>37</v>
      </c>
      <c r="E47" s="47">
        <v>3000</v>
      </c>
      <c r="F47" s="47"/>
      <c r="G47" s="48">
        <v>2800</v>
      </c>
      <c r="H47" s="46" t="s">
        <v>31</v>
      </c>
      <c r="I47" s="49">
        <v>410</v>
      </c>
      <c r="J47" s="49">
        <v>2136.1970000000001</v>
      </c>
      <c r="K47" s="50">
        <f>J47-(SUM(I47:I48))</f>
        <v>0.83300000000008367</v>
      </c>
      <c r="L47" s="51">
        <v>12495</v>
      </c>
      <c r="M47" s="76">
        <f t="shared" si="5"/>
        <v>26691781.515000001</v>
      </c>
    </row>
    <row r="48" spans="1:15" ht="17" thickBot="1" x14ac:dyDescent="0.25">
      <c r="A48" s="15"/>
      <c r="B48" s="20"/>
      <c r="C48" s="16"/>
      <c r="D48" s="16"/>
      <c r="E48" s="8">
        <v>9310</v>
      </c>
      <c r="F48" s="8"/>
      <c r="G48" s="9"/>
      <c r="H48" s="16"/>
      <c r="I48" s="17">
        <v>1725.364</v>
      </c>
      <c r="J48" s="17"/>
      <c r="K48" s="25"/>
      <c r="L48" s="10"/>
      <c r="M48" s="78"/>
    </row>
    <row r="49" spans="1:14" ht="17" thickBot="1" x14ac:dyDescent="0.25">
      <c r="A49" s="12">
        <v>3366</v>
      </c>
      <c r="B49" s="43">
        <v>46141</v>
      </c>
      <c r="C49" s="13" t="s">
        <v>57</v>
      </c>
      <c r="D49" s="13" t="s">
        <v>26</v>
      </c>
      <c r="E49" s="5">
        <v>10300</v>
      </c>
      <c r="F49" s="5"/>
      <c r="G49" s="6">
        <v>2981</v>
      </c>
      <c r="H49" s="13" t="s">
        <v>31</v>
      </c>
      <c r="I49" s="14">
        <v>3450.16</v>
      </c>
      <c r="J49" s="14">
        <v>3449.4349999999999</v>
      </c>
      <c r="K49" s="24">
        <f t="shared" ref="K49:K55" si="6">J49-I49</f>
        <v>-0.72499999999990905</v>
      </c>
      <c r="L49" s="7">
        <v>16350</v>
      </c>
      <c r="M49" s="75">
        <f>J49*L49</f>
        <v>56398262.25</v>
      </c>
    </row>
    <row r="50" spans="1:14" ht="16" customHeight="1" thickBot="1" x14ac:dyDescent="0.25">
      <c r="A50" s="12">
        <v>3367</v>
      </c>
      <c r="B50" s="43">
        <v>46146</v>
      </c>
      <c r="C50" s="13" t="s">
        <v>27</v>
      </c>
      <c r="D50" s="13" t="s">
        <v>26</v>
      </c>
      <c r="E50" s="5">
        <v>9800</v>
      </c>
      <c r="F50" s="5"/>
      <c r="G50" s="6">
        <v>3500</v>
      </c>
      <c r="H50" s="13" t="s">
        <v>31</v>
      </c>
      <c r="I50" s="14">
        <v>2449.1350000000002</v>
      </c>
      <c r="J50" s="14">
        <v>2450.15</v>
      </c>
      <c r="K50" s="24">
        <f t="shared" si="6"/>
        <v>1.0149999999998727</v>
      </c>
      <c r="L50" s="7">
        <v>16350</v>
      </c>
      <c r="M50" s="75">
        <f t="shared" ref="M50:M55" si="7">L50*J50</f>
        <v>40059952.5</v>
      </c>
    </row>
    <row r="51" spans="1:14" ht="17" thickBot="1" x14ac:dyDescent="0.25">
      <c r="A51" s="44">
        <v>3372</v>
      </c>
      <c r="B51" s="45">
        <v>46148</v>
      </c>
      <c r="C51" s="46" t="s">
        <v>63</v>
      </c>
      <c r="D51" s="46" t="s">
        <v>26</v>
      </c>
      <c r="E51" s="67">
        <v>9800</v>
      </c>
      <c r="F51" s="67"/>
      <c r="G51" s="68">
        <v>2981</v>
      </c>
      <c r="H51" s="46" t="s">
        <v>31</v>
      </c>
      <c r="I51" s="49">
        <v>2796.5929999999998</v>
      </c>
      <c r="J51" s="49">
        <v>2797.3409999999999</v>
      </c>
      <c r="K51" s="69">
        <f t="shared" si="6"/>
        <v>0.74800000000004729</v>
      </c>
      <c r="L51" s="70">
        <v>12495</v>
      </c>
      <c r="M51" s="76">
        <f t="shared" si="7"/>
        <v>34952775.795000002</v>
      </c>
    </row>
    <row r="52" spans="1:14" ht="17" thickBot="1" x14ac:dyDescent="0.25">
      <c r="A52" s="44">
        <v>3373</v>
      </c>
      <c r="B52" s="45">
        <v>46148</v>
      </c>
      <c r="C52" s="46" t="s">
        <v>46</v>
      </c>
      <c r="D52" s="46" t="s">
        <v>26</v>
      </c>
      <c r="E52" s="67">
        <v>9800</v>
      </c>
      <c r="F52" s="67"/>
      <c r="G52" s="68">
        <v>2800</v>
      </c>
      <c r="H52" s="46" t="s">
        <v>31</v>
      </c>
      <c r="I52" s="49">
        <v>1906.194</v>
      </c>
      <c r="J52" s="49">
        <v>1906.771</v>
      </c>
      <c r="K52" s="69">
        <f t="shared" si="6"/>
        <v>0.57699999999999818</v>
      </c>
      <c r="L52" s="70">
        <v>11540</v>
      </c>
      <c r="M52" s="76">
        <f t="shared" si="7"/>
        <v>22004137.34</v>
      </c>
    </row>
    <row r="53" spans="1:14" x14ac:dyDescent="0.2">
      <c r="A53" s="44">
        <v>3374</v>
      </c>
      <c r="B53" s="45">
        <v>46148</v>
      </c>
      <c r="C53" s="46" t="s">
        <v>43</v>
      </c>
      <c r="D53" s="46" t="s">
        <v>37</v>
      </c>
      <c r="E53" s="47">
        <v>5450</v>
      </c>
      <c r="F53" s="47"/>
      <c r="G53" s="48">
        <v>2940</v>
      </c>
      <c r="H53" s="46" t="s">
        <v>40</v>
      </c>
      <c r="I53" s="49">
        <v>1592.11</v>
      </c>
      <c r="J53" s="49">
        <v>1582.69</v>
      </c>
      <c r="K53" s="50">
        <f t="shared" si="6"/>
        <v>-9.4199999999998454</v>
      </c>
      <c r="L53" s="51">
        <v>11900</v>
      </c>
      <c r="M53" s="67">
        <f t="shared" si="7"/>
        <v>18834011</v>
      </c>
      <c r="N53" s="66" t="s">
        <v>67</v>
      </c>
    </row>
    <row r="54" spans="1:14" ht="17" thickBot="1" x14ac:dyDescent="0.25">
      <c r="A54" s="15">
        <v>3384</v>
      </c>
      <c r="B54" s="57">
        <v>46155</v>
      </c>
      <c r="C54" s="16" t="s">
        <v>22</v>
      </c>
      <c r="D54" s="16" t="s">
        <v>37</v>
      </c>
      <c r="E54" s="58">
        <v>5450</v>
      </c>
      <c r="F54" s="58"/>
      <c r="G54" s="59">
        <v>2940</v>
      </c>
      <c r="H54" s="16" t="s">
        <v>40</v>
      </c>
      <c r="I54" s="17">
        <v>1412.4590000000001</v>
      </c>
      <c r="J54" s="17">
        <v>1424.1079999999999</v>
      </c>
      <c r="K54" s="60">
        <f t="shared" si="6"/>
        <v>11.648999999999887</v>
      </c>
      <c r="L54" s="61">
        <v>14200</v>
      </c>
      <c r="M54" s="8">
        <f t="shared" si="7"/>
        <v>20222333.599999998</v>
      </c>
      <c r="N54" s="18">
        <f>SUM(I53:I54)</f>
        <v>3004.569</v>
      </c>
    </row>
    <row r="55" spans="1:14" x14ac:dyDescent="0.2">
      <c r="A55" s="44">
        <v>3376</v>
      </c>
      <c r="B55" s="45">
        <v>46150</v>
      </c>
      <c r="C55" s="46" t="s">
        <v>18</v>
      </c>
      <c r="D55" s="46" t="s">
        <v>32</v>
      </c>
      <c r="E55" s="67"/>
      <c r="F55" s="67">
        <v>255</v>
      </c>
      <c r="G55" s="68"/>
      <c r="H55" s="46" t="s">
        <v>31</v>
      </c>
      <c r="I55" s="49">
        <v>1556.46</v>
      </c>
      <c r="J55" s="49">
        <v>1540.46</v>
      </c>
      <c r="K55" s="69">
        <f t="shared" si="6"/>
        <v>-16</v>
      </c>
      <c r="L55" s="70">
        <v>16350</v>
      </c>
      <c r="M55" s="76">
        <f t="shared" si="7"/>
        <v>25186521</v>
      </c>
    </row>
    <row r="56" spans="1:14" ht="17" thickBot="1" x14ac:dyDescent="0.25">
      <c r="A56" s="15"/>
      <c r="B56" s="20"/>
      <c r="C56" s="16"/>
      <c r="D56" s="16" t="s">
        <v>74</v>
      </c>
      <c r="E56" s="8"/>
      <c r="F56" s="8"/>
      <c r="G56" s="9"/>
      <c r="H56" s="16"/>
      <c r="I56" s="17"/>
      <c r="J56" s="17"/>
      <c r="K56" s="25"/>
      <c r="L56" s="10"/>
      <c r="M56" s="78"/>
    </row>
    <row r="57" spans="1:14" x14ac:dyDescent="0.2">
      <c r="A57" s="44">
        <v>3385</v>
      </c>
      <c r="B57" s="45">
        <v>46155</v>
      </c>
      <c r="C57" s="46" t="s">
        <v>60</v>
      </c>
      <c r="D57" s="46" t="s">
        <v>21</v>
      </c>
      <c r="E57" s="67">
        <v>6591.0925999999999</v>
      </c>
      <c r="F57" s="67">
        <v>925</v>
      </c>
      <c r="G57" s="68">
        <v>2330</v>
      </c>
      <c r="H57" s="46" t="s">
        <v>40</v>
      </c>
      <c r="I57" s="49">
        <v>2100.335</v>
      </c>
      <c r="J57" s="49">
        <v>1745.5429999999999</v>
      </c>
      <c r="K57" s="69">
        <f>SUM(J57:J59)-I57</f>
        <v>2.3379999999997381</v>
      </c>
      <c r="L57" s="70">
        <v>11900</v>
      </c>
      <c r="M57" s="76">
        <f>J57*L57</f>
        <v>20771961.699999999</v>
      </c>
      <c r="N57" t="s">
        <v>71</v>
      </c>
    </row>
    <row r="58" spans="1:14" x14ac:dyDescent="0.2">
      <c r="A58" s="52"/>
      <c r="B58" s="79"/>
      <c r="E58" s="86"/>
      <c r="F58" s="86"/>
      <c r="G58" s="87"/>
      <c r="J58">
        <v>357.13</v>
      </c>
      <c r="K58" s="88"/>
      <c r="L58" s="89">
        <v>14200</v>
      </c>
      <c r="M58" s="77">
        <v>5071246</v>
      </c>
      <c r="N58" t="s">
        <v>81</v>
      </c>
    </row>
    <row r="59" spans="1:14" ht="17" thickBot="1" x14ac:dyDescent="0.25">
      <c r="A59" s="15"/>
      <c r="B59" s="20"/>
      <c r="C59" s="16"/>
      <c r="D59" s="16"/>
      <c r="E59" s="8"/>
      <c r="F59" s="8"/>
      <c r="G59" s="9"/>
      <c r="H59" s="16"/>
      <c r="I59" s="17"/>
      <c r="J59" s="17"/>
      <c r="K59" s="25"/>
      <c r="L59" s="10"/>
      <c r="M59" s="78"/>
      <c r="N59" t="s">
        <v>80</v>
      </c>
    </row>
    <row r="60" spans="1:14" ht="17" thickBot="1" x14ac:dyDescent="0.25">
      <c r="A60" s="12">
        <v>3388</v>
      </c>
      <c r="B60" s="43">
        <v>46157</v>
      </c>
      <c r="C60" s="13" t="s">
        <v>65</v>
      </c>
      <c r="D60" s="81" t="s">
        <v>37</v>
      </c>
      <c r="E60" s="5"/>
      <c r="F60" s="5"/>
      <c r="G60" s="6">
        <v>2800</v>
      </c>
      <c r="H60" s="13" t="s">
        <v>31</v>
      </c>
      <c r="I60" s="14">
        <v>2112.9029999999998</v>
      </c>
      <c r="J60" s="14">
        <v>2113.5839999999998</v>
      </c>
      <c r="K60" s="24">
        <f>J60-I60</f>
        <v>0.68100000000004002</v>
      </c>
      <c r="L60" s="7">
        <v>12495</v>
      </c>
      <c r="M60" s="75">
        <f>J60*L60</f>
        <v>26409232.079999998</v>
      </c>
    </row>
    <row r="61" spans="1:14" ht="17" thickBot="1" x14ac:dyDescent="0.25">
      <c r="A61" s="12"/>
      <c r="B61" s="21"/>
      <c r="C61" s="13" t="s">
        <v>27</v>
      </c>
      <c r="D61" s="13" t="s">
        <v>26</v>
      </c>
      <c r="E61" s="5">
        <v>9800</v>
      </c>
      <c r="F61" s="83"/>
      <c r="G61" s="6">
        <v>2906.25</v>
      </c>
      <c r="H61" s="13" t="s">
        <v>28</v>
      </c>
      <c r="I61" s="14">
        <v>2451.7779999999998</v>
      </c>
      <c r="J61" s="14">
        <v>2456.8910000000001</v>
      </c>
      <c r="K61" s="24">
        <f>J61-I61</f>
        <v>5.1130000000002838</v>
      </c>
      <c r="L61" s="7"/>
      <c r="M61" s="75"/>
      <c r="N61" t="s">
        <v>79</v>
      </c>
    </row>
    <row r="62" spans="1:14" ht="17" thickBot="1" x14ac:dyDescent="0.25">
      <c r="A62" s="12">
        <v>3389</v>
      </c>
      <c r="B62" s="43">
        <v>46158</v>
      </c>
      <c r="C62" s="13" t="s">
        <v>68</v>
      </c>
      <c r="D62" s="13" t="s">
        <v>26</v>
      </c>
      <c r="E62" s="5">
        <v>9800</v>
      </c>
      <c r="F62" s="5"/>
      <c r="G62" s="6">
        <v>3450</v>
      </c>
      <c r="H62" s="13" t="s">
        <v>31</v>
      </c>
      <c r="I62" s="14">
        <v>3583.73</v>
      </c>
      <c r="J62" s="14">
        <v>3581.9279999999999</v>
      </c>
      <c r="K62" s="24">
        <f>J62-I62</f>
        <v>-1.8020000000001346</v>
      </c>
      <c r="L62" s="7">
        <v>16350</v>
      </c>
      <c r="M62" s="75">
        <f>J62*L62</f>
        <v>58564522.799999997</v>
      </c>
    </row>
    <row r="63" spans="1:14" ht="17" thickBot="1" x14ac:dyDescent="0.25">
      <c r="A63" s="12">
        <v>3394</v>
      </c>
      <c r="B63" s="43">
        <v>46167</v>
      </c>
      <c r="C63" s="13" t="s">
        <v>46</v>
      </c>
      <c r="D63" s="13" t="s">
        <v>88</v>
      </c>
      <c r="E63" s="5">
        <v>11300</v>
      </c>
      <c r="F63" s="5"/>
      <c r="G63" s="6">
        <v>2800</v>
      </c>
      <c r="H63" s="13" t="s">
        <v>31</v>
      </c>
      <c r="I63" s="14">
        <v>1900.97</v>
      </c>
      <c r="J63" s="14">
        <v>1900.9059999999999</v>
      </c>
      <c r="K63" s="24">
        <f>J63-I63</f>
        <v>-6.4000000000078217E-2</v>
      </c>
      <c r="L63" s="7">
        <v>16000</v>
      </c>
      <c r="M63" s="75">
        <f>L63*J63</f>
        <v>30414496</v>
      </c>
    </row>
    <row r="64" spans="1:14" ht="17" thickBot="1" x14ac:dyDescent="0.25">
      <c r="A64" s="12">
        <v>3396</v>
      </c>
      <c r="B64" s="43">
        <v>46171</v>
      </c>
      <c r="C64" s="13" t="s">
        <v>72</v>
      </c>
      <c r="D64" s="13" t="s">
        <v>73</v>
      </c>
      <c r="E64" s="5">
        <v>11300</v>
      </c>
      <c r="F64" s="5"/>
      <c r="G64" s="6">
        <v>2352</v>
      </c>
      <c r="H64" s="13" t="s">
        <v>31</v>
      </c>
      <c r="I64" s="14">
        <v>2800.11</v>
      </c>
      <c r="J64" s="14">
        <v>2799.8180000000002</v>
      </c>
      <c r="K64" s="24">
        <f>J64-I64</f>
        <v>-0.29199999999991633</v>
      </c>
      <c r="L64" s="7">
        <v>16000</v>
      </c>
      <c r="M64" s="75">
        <f>L64*J64</f>
        <v>44797088</v>
      </c>
    </row>
    <row r="65" spans="1:14" ht="18" customHeight="1" thickBot="1" x14ac:dyDescent="0.25">
      <c r="A65" s="12">
        <v>3397</v>
      </c>
      <c r="B65" s="43">
        <v>46171</v>
      </c>
      <c r="C65" s="13" t="s">
        <v>76</v>
      </c>
      <c r="D65" s="13" t="s">
        <v>83</v>
      </c>
      <c r="E65" s="5">
        <v>13000</v>
      </c>
      <c r="F65" s="5"/>
      <c r="G65" s="6">
        <v>2500</v>
      </c>
      <c r="H65" s="13" t="s">
        <v>31</v>
      </c>
      <c r="I65" s="14">
        <v>2100</v>
      </c>
      <c r="J65" s="14">
        <v>2109.2260000000001</v>
      </c>
      <c r="K65" s="24">
        <f>J65-I65</f>
        <v>9.2260000000001128</v>
      </c>
      <c r="L65" s="7">
        <v>16350</v>
      </c>
      <c r="M65" s="75">
        <f>L65*J65</f>
        <v>34485845.100000001</v>
      </c>
    </row>
    <row r="66" spans="1:14" x14ac:dyDescent="0.2">
      <c r="E66" s="28"/>
      <c r="F66" s="28"/>
      <c r="G66" s="29"/>
      <c r="L66" s="31"/>
    </row>
    <row r="67" spans="1:14" ht="16" customHeight="1" x14ac:dyDescent="0.2">
      <c r="A67" s="64" t="s">
        <v>39</v>
      </c>
      <c r="E67" s="28"/>
      <c r="F67" s="28"/>
      <c r="G67" s="29"/>
      <c r="K67" s="30"/>
      <c r="L67" s="31"/>
    </row>
    <row r="68" spans="1:14" ht="16" customHeight="1" x14ac:dyDescent="0.2">
      <c r="A68" s="64"/>
      <c r="E68" s="28"/>
      <c r="F68" s="28"/>
      <c r="G68" s="29"/>
      <c r="K68" s="30"/>
      <c r="L68" s="31"/>
    </row>
    <row r="69" spans="1:14" ht="16" customHeight="1" x14ac:dyDescent="0.2">
      <c r="A69" s="64"/>
      <c r="E69" s="28"/>
      <c r="F69" s="28"/>
      <c r="G69" s="29"/>
      <c r="K69" s="30"/>
      <c r="L69" s="31"/>
    </row>
    <row r="71" spans="1:14" ht="17" thickBot="1" x14ac:dyDescent="0.25"/>
    <row r="72" spans="1:14" x14ac:dyDescent="0.2">
      <c r="A72" s="44"/>
      <c r="B72" s="65"/>
      <c r="C72" s="46" t="s">
        <v>51</v>
      </c>
      <c r="D72" s="46" t="s">
        <v>21</v>
      </c>
      <c r="E72" s="67">
        <v>6956.5698000000002</v>
      </c>
      <c r="F72" s="67">
        <v>850.95</v>
      </c>
      <c r="G72" s="71">
        <v>2542</v>
      </c>
      <c r="H72" s="46" t="s">
        <v>40</v>
      </c>
      <c r="I72" s="49">
        <v>2461.4059999999999</v>
      </c>
      <c r="J72" s="49">
        <v>2460.9180000000001</v>
      </c>
      <c r="K72" s="69">
        <f>J72-I72</f>
        <v>-0.48799999999982901</v>
      </c>
      <c r="L72" s="70">
        <v>14200</v>
      </c>
      <c r="M72" s="76">
        <f>J72*L72</f>
        <v>34945035.600000001</v>
      </c>
      <c r="N72" t="s">
        <v>82</v>
      </c>
    </row>
    <row r="73" spans="1:14" ht="17" thickBot="1" x14ac:dyDescent="0.25">
      <c r="A73" s="15"/>
      <c r="B73" s="20"/>
      <c r="C73" s="16"/>
      <c r="D73" s="16"/>
      <c r="E73" s="8"/>
      <c r="F73" s="8"/>
      <c r="G73" s="72"/>
      <c r="H73" s="16"/>
      <c r="I73" s="17"/>
      <c r="J73" s="17"/>
      <c r="K73" s="25"/>
      <c r="L73" s="10"/>
      <c r="M73" s="78"/>
      <c r="N73" s="85" t="s">
        <v>90</v>
      </c>
    </row>
    <row r="74" spans="1:14" ht="17" thickBot="1" x14ac:dyDescent="0.25"/>
    <row r="75" spans="1:14" x14ac:dyDescent="0.2">
      <c r="A75" s="44"/>
      <c r="B75" s="65"/>
      <c r="C75" s="46" t="s">
        <v>64</v>
      </c>
      <c r="D75" s="46" t="s">
        <v>85</v>
      </c>
      <c r="E75" s="67">
        <v>3000</v>
      </c>
      <c r="F75" s="67">
        <v>635.82000000000005</v>
      </c>
      <c r="G75" s="68">
        <v>2452</v>
      </c>
      <c r="H75" s="46" t="s">
        <v>40</v>
      </c>
      <c r="I75" s="49">
        <v>1000</v>
      </c>
      <c r="J75" s="49"/>
      <c r="K75" s="69"/>
      <c r="L75" s="70">
        <v>14200</v>
      </c>
      <c r="M75" s="76"/>
      <c r="N75" t="s">
        <v>70</v>
      </c>
    </row>
    <row r="76" spans="1:14" ht="17" thickBot="1" x14ac:dyDescent="0.25">
      <c r="A76" s="15"/>
      <c r="B76" s="20"/>
      <c r="C76" s="16"/>
      <c r="D76" s="16"/>
      <c r="E76" s="8">
        <v>8910</v>
      </c>
      <c r="F76" s="8">
        <v>635.82000000000005</v>
      </c>
      <c r="G76" s="9"/>
      <c r="H76" s="16"/>
      <c r="I76" s="17">
        <v>1100</v>
      </c>
      <c r="J76" s="17">
        <v>2100.3339999999998</v>
      </c>
      <c r="K76" s="25"/>
      <c r="L76" s="10"/>
      <c r="M76" s="78"/>
      <c r="N76" t="s">
        <v>86</v>
      </c>
    </row>
    <row r="77" spans="1:14" x14ac:dyDescent="0.2">
      <c r="A77" s="44"/>
      <c r="B77" s="65"/>
      <c r="C77" s="46" t="s">
        <v>43</v>
      </c>
      <c r="D77" s="82" t="s">
        <v>37</v>
      </c>
      <c r="E77" s="67"/>
      <c r="F77" s="67"/>
      <c r="G77" s="68">
        <v>2900</v>
      </c>
      <c r="H77" s="46" t="s">
        <v>40</v>
      </c>
      <c r="I77" s="49">
        <v>1561.6790000000001</v>
      </c>
      <c r="J77" s="49"/>
      <c r="K77" s="69"/>
      <c r="L77" s="70">
        <v>14200</v>
      </c>
      <c r="M77" s="76"/>
      <c r="N77" t="s">
        <v>84</v>
      </c>
    </row>
    <row r="78" spans="1:14" ht="17" thickBot="1" x14ac:dyDescent="0.25">
      <c r="A78" s="15"/>
      <c r="B78" s="20"/>
      <c r="C78" s="16" t="s">
        <v>22</v>
      </c>
      <c r="D78" s="84" t="s">
        <v>37</v>
      </c>
      <c r="E78" s="8"/>
      <c r="F78" s="8"/>
      <c r="G78" s="9">
        <v>2900</v>
      </c>
      <c r="H78" s="16"/>
      <c r="I78" s="17">
        <v>1438.818</v>
      </c>
      <c r="J78" s="17"/>
      <c r="K78" s="25"/>
      <c r="L78" s="10">
        <v>14200</v>
      </c>
      <c r="M78" s="78"/>
    </row>
    <row r="79" spans="1:14" ht="17" thickBot="1" x14ac:dyDescent="0.25">
      <c r="A79" s="12"/>
      <c r="B79" s="21"/>
      <c r="C79" s="13" t="s">
        <v>75</v>
      </c>
      <c r="D79" s="81" t="s">
        <v>21</v>
      </c>
      <c r="E79" s="5"/>
      <c r="F79" s="5"/>
      <c r="G79" s="6">
        <v>2325</v>
      </c>
      <c r="H79" s="13" t="s">
        <v>40</v>
      </c>
      <c r="I79" s="14">
        <v>2478.14</v>
      </c>
      <c r="J79" s="14"/>
      <c r="K79" s="24"/>
      <c r="L79" s="7">
        <v>14200</v>
      </c>
      <c r="M79" s="75"/>
    </row>
    <row r="80" spans="1:14" ht="17" thickBot="1" x14ac:dyDescent="0.25">
      <c r="A80" s="12"/>
      <c r="B80" s="21"/>
      <c r="C80" s="13" t="s">
        <v>18</v>
      </c>
      <c r="D80" s="13" t="s">
        <v>28</v>
      </c>
      <c r="E80" s="5"/>
      <c r="F80" s="5"/>
      <c r="G80" s="6"/>
      <c r="H80" s="13" t="s">
        <v>40</v>
      </c>
      <c r="I80" s="93">
        <v>499.67</v>
      </c>
      <c r="J80" s="14"/>
      <c r="K80" s="24"/>
      <c r="L80" s="7">
        <v>14200</v>
      </c>
      <c r="M80" s="75"/>
    </row>
    <row r="81" spans="1:14" ht="17" thickBot="1" x14ac:dyDescent="0.25"/>
    <row r="82" spans="1:14" ht="17" thickBot="1" x14ac:dyDescent="0.25">
      <c r="A82" s="12"/>
      <c r="B82" s="21"/>
      <c r="C82" s="13" t="s">
        <v>27</v>
      </c>
      <c r="D82" s="81" t="s">
        <v>37</v>
      </c>
      <c r="E82" s="5"/>
      <c r="F82" s="5"/>
      <c r="G82" s="6"/>
      <c r="H82" s="13" t="s">
        <v>31</v>
      </c>
      <c r="I82" s="14">
        <v>2505.5929999999998</v>
      </c>
      <c r="J82" s="14"/>
      <c r="K82" s="24">
        <f>J82-I82</f>
        <v>-2505.5929999999998</v>
      </c>
      <c r="L82" s="7">
        <v>12495</v>
      </c>
      <c r="M82" s="75"/>
    </row>
    <row r="83" spans="1:14" ht="17" thickBot="1" x14ac:dyDescent="0.25">
      <c r="A83" s="15"/>
      <c r="B83" s="20"/>
      <c r="C83" s="16" t="s">
        <v>38</v>
      </c>
      <c r="D83" s="84" t="s">
        <v>37</v>
      </c>
      <c r="E83" s="8"/>
      <c r="F83" s="8"/>
      <c r="G83" s="9">
        <v>2906.25</v>
      </c>
      <c r="H83" s="16" t="s">
        <v>31</v>
      </c>
      <c r="I83" s="17">
        <v>1865.049</v>
      </c>
      <c r="J83" s="17">
        <v>1865.3530000000001</v>
      </c>
      <c r="K83" s="25">
        <f>J83-I83</f>
        <v>0.30400000000008731</v>
      </c>
      <c r="L83" s="10">
        <v>12495</v>
      </c>
      <c r="M83" s="78"/>
    </row>
    <row r="84" spans="1:14" ht="17" thickBot="1" x14ac:dyDescent="0.25"/>
    <row r="85" spans="1:14" ht="17" thickBot="1" x14ac:dyDescent="0.25">
      <c r="A85" s="12"/>
      <c r="B85" s="21"/>
      <c r="C85" s="13" t="s">
        <v>69</v>
      </c>
      <c r="D85" s="13" t="s">
        <v>74</v>
      </c>
      <c r="E85" s="5">
        <v>11300</v>
      </c>
      <c r="F85" s="5"/>
      <c r="G85" s="6"/>
      <c r="H85" s="13" t="s">
        <v>31</v>
      </c>
      <c r="I85" s="14"/>
      <c r="J85" s="14"/>
      <c r="K85" s="24"/>
      <c r="L85" s="7">
        <v>16350</v>
      </c>
      <c r="M85" s="75"/>
    </row>
    <row r="86" spans="1:14" ht="17" thickBot="1" x14ac:dyDescent="0.25">
      <c r="A86" s="12"/>
      <c r="B86" s="21"/>
      <c r="C86" s="13"/>
      <c r="D86" s="13"/>
      <c r="E86" s="5"/>
      <c r="F86" s="5"/>
      <c r="G86" s="6"/>
      <c r="H86" s="13"/>
      <c r="I86" s="14"/>
      <c r="J86" s="14"/>
      <c r="K86" s="24"/>
      <c r="L86" s="7"/>
      <c r="M86" s="75"/>
    </row>
    <row r="87" spans="1:14" ht="17" thickBot="1" x14ac:dyDescent="0.25">
      <c r="A87" s="44"/>
      <c r="B87" s="65"/>
      <c r="C87" s="46" t="s">
        <v>77</v>
      </c>
      <c r="D87" s="46" t="s">
        <v>16</v>
      </c>
      <c r="E87" s="67">
        <v>11000</v>
      </c>
      <c r="F87" s="67"/>
      <c r="G87" s="68">
        <v>2325</v>
      </c>
      <c r="H87" s="46" t="s">
        <v>31</v>
      </c>
      <c r="I87" s="49">
        <v>2099.6799999999998</v>
      </c>
      <c r="J87" s="49"/>
      <c r="K87" s="69"/>
      <c r="L87" s="70">
        <v>16000</v>
      </c>
      <c r="M87" s="76"/>
    </row>
    <row r="88" spans="1:14" x14ac:dyDescent="0.2">
      <c r="A88" s="44"/>
      <c r="B88" s="65"/>
      <c r="C88" s="46" t="s">
        <v>78</v>
      </c>
      <c r="D88" s="46" t="s">
        <v>89</v>
      </c>
      <c r="E88" s="67">
        <v>13000</v>
      </c>
      <c r="F88" s="67"/>
      <c r="G88" s="68">
        <v>2680</v>
      </c>
      <c r="H88" s="46" t="s">
        <v>31</v>
      </c>
      <c r="I88" s="49">
        <v>2329.41</v>
      </c>
      <c r="J88" s="49"/>
      <c r="K88" s="69"/>
      <c r="L88" s="70">
        <v>16350</v>
      </c>
      <c r="M88" s="76"/>
      <c r="N88" t="s">
        <v>91</v>
      </c>
    </row>
    <row r="89" spans="1:14" ht="17" thickBot="1" x14ac:dyDescent="0.25">
      <c r="A89" s="15"/>
      <c r="B89" s="20"/>
      <c r="C89" s="16"/>
      <c r="D89" s="16" t="s">
        <v>16</v>
      </c>
      <c r="E89" s="8">
        <v>11000</v>
      </c>
      <c r="F89" s="8"/>
      <c r="G89" s="9"/>
      <c r="H89" s="16"/>
      <c r="I89" s="17">
        <v>400.32</v>
      </c>
      <c r="J89" s="17"/>
      <c r="K89" s="25"/>
      <c r="L89" s="10"/>
      <c r="M89" s="78"/>
    </row>
    <row r="90" spans="1:14" ht="17" thickBot="1" x14ac:dyDescent="0.25">
      <c r="A90" s="15"/>
      <c r="B90" s="20"/>
      <c r="C90" s="16" t="s">
        <v>87</v>
      </c>
      <c r="D90" s="16" t="s">
        <v>73</v>
      </c>
      <c r="E90" s="8">
        <v>11300</v>
      </c>
      <c r="F90" s="8"/>
      <c r="G90" s="9">
        <v>2325</v>
      </c>
      <c r="H90" s="16" t="s">
        <v>31</v>
      </c>
      <c r="I90" s="17">
        <v>1109.75</v>
      </c>
      <c r="J90" s="17"/>
      <c r="K90" s="25"/>
      <c r="L90" s="10">
        <v>16000</v>
      </c>
      <c r="M90" s="78"/>
    </row>
    <row r="92" spans="1:14" x14ac:dyDescent="0.2">
      <c r="D92" s="2" t="s">
        <v>21</v>
      </c>
      <c r="H92" s="2" t="s">
        <v>40</v>
      </c>
      <c r="I92">
        <v>2500</v>
      </c>
    </row>
  </sheetData>
  <mergeCells count="1">
    <mergeCell ref="A1:M1"/>
  </mergeCell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Jewel Marie Perez</dc:creator>
  <cp:lastModifiedBy>Jewel Marie Perez</cp:lastModifiedBy>
  <cp:lastPrinted>2026-03-17T22:40:04Z</cp:lastPrinted>
  <dcterms:created xsi:type="dcterms:W3CDTF">2026-02-03T06:34:46Z</dcterms:created>
  <dcterms:modified xsi:type="dcterms:W3CDTF">2026-05-29T08:02:27Z</dcterms:modified>
</cp:coreProperties>
</file>